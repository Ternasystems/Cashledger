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ache24\htdocs\Cashledger\Applications\Assets\Static\database\"/>
    </mc:Choice>
  </mc:AlternateContent>
  <xr:revisionPtr revIDLastSave="0" documentId="13_ncr:1_{E11C0B0B-1F95-4DB1-8102-5002CEF2235B}" xr6:coauthVersionLast="47" xr6:coauthVersionMax="47" xr10:uidLastSave="{00000000-0000-0000-0000-000000000000}"/>
  <bookViews>
    <workbookView xWindow="-120" yWindow="-120" windowWidth="29040" windowHeight="16440" xr2:uid="{CBC023F6-C04F-4094-8C8A-933E7074C5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 a="1"/>
  <c r="P24" i="1" s="1"/>
  <c r="Q25" i="1"/>
  <c r="Q24" i="1"/>
  <c r="O6" i="1"/>
  <c r="O4" i="1" a="1"/>
  <c r="O4" i="1" s="1"/>
  <c r="O2" i="1"/>
  <c r="O8" i="1" a="1"/>
  <c r="O8" i="1" s="1"/>
  <c r="O19" i="1"/>
  <c r="H1" i="2" a="1"/>
  <c r="H1" i="2" s="1"/>
  <c r="B1" i="2" a="1"/>
  <c r="B1" i="2" s="1"/>
  <c r="S7" i="1"/>
  <c r="O16" i="1" a="1"/>
  <c r="O16" i="1" s="1"/>
  <c r="O14" i="1"/>
  <c r="O15" i="1" s="1"/>
  <c r="S3" i="1"/>
  <c r="L24" i="1"/>
  <c r="K24" i="1"/>
  <c r="J24" i="1"/>
  <c r="I24" i="1"/>
  <c r="H24" i="1"/>
  <c r="G24" i="1"/>
  <c r="F24" i="1"/>
  <c r="E24" i="1"/>
  <c r="D24" i="1"/>
  <c r="C24" i="1"/>
  <c r="B24" i="1"/>
  <c r="L17" i="1"/>
  <c r="K17" i="1"/>
  <c r="J17" i="1"/>
  <c r="I17" i="1"/>
  <c r="H17" i="1"/>
  <c r="G17" i="1"/>
  <c r="F17" i="1"/>
  <c r="E17" i="1"/>
  <c r="D17" i="1"/>
  <c r="C17" i="1"/>
  <c r="B17" i="1"/>
  <c r="C10" i="1"/>
  <c r="D10" i="1"/>
  <c r="E10" i="1"/>
  <c r="F10" i="1"/>
  <c r="G10" i="1"/>
  <c r="H10" i="1"/>
  <c r="I10" i="1"/>
  <c r="J10" i="1"/>
  <c r="K10" i="1"/>
  <c r="L10" i="1"/>
  <c r="B10" i="1"/>
  <c r="B2" i="1"/>
  <c r="B3" i="1" s="1"/>
  <c r="P3" i="1" l="1"/>
  <c r="R3" i="1"/>
  <c r="Q3" i="1"/>
  <c r="O3" i="1"/>
  <c r="T3" i="1"/>
  <c r="U3" i="1"/>
  <c r="R7" i="1"/>
  <c r="Q7" i="1"/>
  <c r="P7" i="1"/>
  <c r="O7" i="1"/>
  <c r="R15" i="1"/>
  <c r="Q15" i="1"/>
  <c r="P15" i="1"/>
  <c r="S15" i="1"/>
  <c r="B25" i="1" a="1"/>
  <c r="B25" i="1" s="1"/>
  <c r="B26" i="1" s="1" a="1"/>
  <c r="B26" i="1" s="1"/>
  <c r="B27" i="1" s="1"/>
  <c r="B28" i="1" s="1"/>
  <c r="B18" i="1" a="1"/>
  <c r="B18" i="1" s="1"/>
  <c r="B19" i="1" s="1" a="1"/>
  <c r="B19" i="1" s="1"/>
  <c r="B20" i="1" s="1"/>
  <c r="B21" i="1" s="1"/>
  <c r="H4" i="1"/>
  <c r="J4" i="1"/>
  <c r="C4" i="1"/>
  <c r="K4" i="1"/>
  <c r="I4" i="1"/>
  <c r="D4" i="1"/>
  <c r="L4" i="1"/>
  <c r="E4" i="1"/>
  <c r="B4" i="1"/>
  <c r="F4" i="1"/>
  <c r="G4" i="1"/>
  <c r="B11" i="1" a="1"/>
  <c r="B11" i="1" s="1"/>
  <c r="B12" i="1" s="1" a="1"/>
  <c r="B12" i="1" s="1"/>
  <c r="B13" i="1" s="1"/>
  <c r="B14" i="1" s="1"/>
  <c r="O5" i="1" l="1" a="1"/>
  <c r="O5" i="1" s="1"/>
  <c r="O9" i="1" a="1"/>
  <c r="O9" i="1" s="1"/>
  <c r="O17" i="1" a="1"/>
  <c r="O17" i="1" s="1"/>
  <c r="O18" i="1" s="1"/>
  <c r="B5" i="1" a="1"/>
  <c r="B5" i="1" s="1"/>
  <c r="B6" i="1" s="1" a="1"/>
  <c r="B6" i="1" s="1"/>
  <c r="B7" i="1" s="1"/>
  <c r="O10" i="1" l="1"/>
  <c r="O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<sst xmlns="http://schemas.openxmlformats.org/spreadsheetml/2006/main" count="73" uniqueCount="71">
  <si>
    <t>EAAJFGEAAIB</t>
  </si>
  <si>
    <t>EABBHCDCJIB</t>
  </si>
  <si>
    <t>EABBHGIIGBB</t>
  </si>
  <si>
    <t>AAJFEE4JJAF</t>
  </si>
  <si>
    <t>* AUD cl_Audits</t>
  </si>
  <si>
    <t xml:space="preserve"> * CIT cl_Cities</t>
  </si>
  <si>
    <t xml:space="preserve"> * CTY cl_Countries</t>
  </si>
  <si>
    <t xml:space="preserve"> * LNG cl_Languages</t>
  </si>
  <si>
    <t xml:space="preserve"> * LGR cl_LanguageRelations</t>
  </si>
  <si>
    <t xml:space="preserve"> * TRK cl_Trackings</t>
  </si>
  <si>
    <t>* CIV cl_Civilities</t>
  </si>
  <si>
    <t xml:space="preserve"> * CVR cl_CivilityRelations</t>
  </si>
  <si>
    <t xml:space="preserve"> * CRD cl_Credentials</t>
  </si>
  <si>
    <t xml:space="preserve"> * GND cl_Genders</t>
  </si>
  <si>
    <t xml:space="preserve"> * GNR cl_GenderRelations</t>
  </si>
  <si>
    <t xml:space="preserve"> * OCP cl_Occupations</t>
  </si>
  <si>
    <t xml:space="preserve"> * OCR cl_OccupationRelations</t>
  </si>
  <si>
    <t xml:space="preserve"> * PRL cl_Profiles</t>
  </si>
  <si>
    <t xml:space="preserve"> * PRM cl_Permissions</t>
  </si>
  <si>
    <t xml:space="preserve"> * PRR cl_Role_*</t>
  </si>
  <si>
    <t xml:space="preserve"> * ROL cl_Roles</t>
  </si>
  <si>
    <t xml:space="preserve"> * ROR cl_RoleRelations</t>
  </si>
  <si>
    <t xml:space="preserve"> * STS cl_Status</t>
  </si>
  <si>
    <t xml:space="preserve"> * STR cl_StatusRelations</t>
  </si>
  <si>
    <t xml:space="preserve"> * TTL cl_Titles</t>
  </si>
  <si>
    <t xml:space="preserve"> * TTR cl_TitleRelations</t>
  </si>
  <si>
    <t>AUD</t>
  </si>
  <si>
    <t>cl_Audits</t>
  </si>
  <si>
    <t>CIT</t>
  </si>
  <si>
    <t>cl_Cities</t>
  </si>
  <si>
    <t>CTY</t>
  </si>
  <si>
    <t>cl_Countries</t>
  </si>
  <si>
    <t>LNG</t>
  </si>
  <si>
    <t>cl_Languages</t>
  </si>
  <si>
    <t>LGR</t>
  </si>
  <si>
    <t>cl_LanguageRelations</t>
  </si>
  <si>
    <t>CIV</t>
  </si>
  <si>
    <t>cl_Civilities</t>
  </si>
  <si>
    <t>CVR</t>
  </si>
  <si>
    <t>cl_CivilityRelations</t>
  </si>
  <si>
    <t>CRD</t>
  </si>
  <si>
    <t>cl_Credentials</t>
  </si>
  <si>
    <t>GND</t>
  </si>
  <si>
    <t>cl_Genders</t>
  </si>
  <si>
    <t>GNR</t>
  </si>
  <si>
    <t>cl_GenderRelations</t>
  </si>
  <si>
    <t>OCP</t>
  </si>
  <si>
    <t>cl_Occupations</t>
  </si>
  <si>
    <t>OCR</t>
  </si>
  <si>
    <t>cl_OccupationRelations</t>
  </si>
  <si>
    <t>PRL</t>
  </si>
  <si>
    <t>cl_Profiles</t>
  </si>
  <si>
    <t>PRM</t>
  </si>
  <si>
    <t>cl_Permissions</t>
  </si>
  <si>
    <t>PRR</t>
  </si>
  <si>
    <t>cl_Role_*</t>
  </si>
  <si>
    <t>ROL</t>
  </si>
  <si>
    <t>cl_Roles</t>
  </si>
  <si>
    <t>ROR</t>
  </si>
  <si>
    <t>cl_RoleRelations</t>
  </si>
  <si>
    <t>STS</t>
  </si>
  <si>
    <t>cl_Status</t>
  </si>
  <si>
    <t>STR</t>
  </si>
  <si>
    <t>cl_StatusRelations</t>
  </si>
  <si>
    <t>TRK</t>
  </si>
  <si>
    <t>cl_Trackings</t>
  </si>
  <si>
    <t>TTL</t>
  </si>
  <si>
    <t>cl_Titles</t>
  </si>
  <si>
    <t>TTR</t>
  </si>
  <si>
    <t>cl_TitleRelations</t>
  </si>
  <si>
    <t>EABBHEDHACE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</si>
</sst>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D02D-DB47-4CA8-82CA-4229ACDCA489}">
  <dimension ref="A1:U28"/>
  <sheetViews>
    <sheetView tabSelected="1" workbookViewId="0">
      <selection activeCell="Q26" sqref="Q26"/>
    </sheetView>
  </sheetViews>
  <sheetFormatPr defaultRowHeight="15" x14ac:dyDescent="0.25"/>
  <cols>
    <col min="2" max="2" width="11.875" bestFit="1" customWidth="1"/>
    <col min="15" max="15" width="13.5" bestFit="1" customWidth="1"/>
  </cols>
  <sheetData>
    <row r="1" spans="1:21" x14ac:dyDescent="0.25">
      <c r="B1">
        <v>2025</v>
      </c>
      <c r="C1">
        <v>12</v>
      </c>
      <c r="D1">
        <v>31</v>
      </c>
      <c r="O1">
        <v>2024</v>
      </c>
      <c r="P1">
        <v>4</v>
      </c>
    </row>
    <row r="2" spans="1:21" x14ac:dyDescent="0.25">
      <c r="B2" t="str">
        <f>B1&amp;TEXT(C1,"00")&amp;TEXT(D1,"00")</f>
        <v>20251231</v>
      </c>
      <c r="N2">
        <v>1981</v>
      </c>
      <c r="O2">
        <f>O1*N2</f>
        <v>4009544</v>
      </c>
    </row>
    <row r="3" spans="1:21" x14ac:dyDescent="0.25">
      <c r="A3">
        <v>1981</v>
      </c>
      <c r="B3">
        <f>B2*A3</f>
        <v>40117688611</v>
      </c>
      <c r="O3" t="str">
        <f>MID($O2,COLUMNS($O2:O2),1)</f>
        <v>4</v>
      </c>
      <c r="P3" t="str">
        <f>MID($O2,COLUMNS($O2:P2),1)</f>
        <v>0</v>
      </c>
      <c r="Q3" t="str">
        <f>MID($O2,COLUMNS($O2:Q2),1)</f>
        <v>0</v>
      </c>
      <c r="R3" t="str">
        <f>MID($O2,COLUMNS($O2:R2),1)</f>
        <v>9</v>
      </c>
      <c r="S3" t="str">
        <f>MID($O2,COLUMNS($O2:S2),1)</f>
        <v>5</v>
      </c>
      <c r="T3" t="str">
        <f>MID($O2,COLUMNS($O2:T2),1)</f>
        <v>4</v>
      </c>
      <c r="U3" t="str">
        <f>MID($O2,COLUMNS($O2:U2),1)</f>
        <v>4</v>
      </c>
    </row>
    <row r="4" spans="1:21" x14ac:dyDescent="0.25">
      <c r="B4" t="str">
        <f>MID($B$3,COLUMNS($B$3:B3),1)</f>
        <v>4</v>
      </c>
      <c r="C4" t="str">
        <f>MID($B$3,COLUMNS($B$3:C3),1)</f>
        <v>0</v>
      </c>
      <c r="D4" t="str">
        <f>MID($B$3,COLUMNS($B$3:D3),1)</f>
        <v>1</v>
      </c>
      <c r="E4" t="str">
        <f>MID($B$3,COLUMNS($B$3:E3),1)</f>
        <v>1</v>
      </c>
      <c r="F4" t="str">
        <f>MID($B$3,COLUMNS($B$3:F3),1)</f>
        <v>7</v>
      </c>
      <c r="G4" t="str">
        <f>MID($B$3,COLUMNS($B$3:G3),1)</f>
        <v>6</v>
      </c>
      <c r="H4" t="str">
        <f>MID($B$3,COLUMNS($B$3:H3),1)</f>
        <v>8</v>
      </c>
      <c r="I4" t="str">
        <f>MID($B$3,COLUMNS($B$3:I3),1)</f>
        <v>8</v>
      </c>
      <c r="J4" t="str">
        <f>MID($B$3,COLUMNS($B$3:J3),1)</f>
        <v>6</v>
      </c>
      <c r="K4" t="str">
        <f>MID($B$3,COLUMNS($B$3:K3),1)</f>
        <v>1</v>
      </c>
      <c r="L4" t="str">
        <f>MID($B$3,COLUMNS($B$3:L3),1)</f>
        <v>1</v>
      </c>
      <c r="N4">
        <v>65</v>
      </c>
      <c r="O4" cm="1">
        <f t="array" ref="O4:U4">O3:U3+N4</f>
        <v>69</v>
      </c>
      <c r="P4">
        <v>65</v>
      </c>
      <c r="Q4">
        <v>65</v>
      </c>
      <c r="R4">
        <v>74</v>
      </c>
      <c r="S4">
        <v>70</v>
      </c>
      <c r="T4">
        <v>69</v>
      </c>
      <c r="U4">
        <v>69</v>
      </c>
    </row>
    <row r="5" spans="1:21" x14ac:dyDescent="0.25">
      <c r="A5">
        <v>65</v>
      </c>
      <c r="B5" cm="1">
        <f t="array" ref="B5:L5">B4:L4+A5</f>
        <v>69</v>
      </c>
      <c r="C5">
        <v>65</v>
      </c>
      <c r="D5">
        <v>66</v>
      </c>
      <c r="E5">
        <v>66</v>
      </c>
      <c r="F5">
        <v>72</v>
      </c>
      <c r="G5">
        <v>71</v>
      </c>
      <c r="H5">
        <v>73</v>
      </c>
      <c r="I5">
        <v>73</v>
      </c>
      <c r="J5">
        <v>71</v>
      </c>
      <c r="K5">
        <v>66</v>
      </c>
      <c r="L5">
        <v>66</v>
      </c>
      <c r="O5" t="str" cm="1">
        <f t="array" ref="O5:U5">CHAR(_xlfn.ANCHORARRAY(O4))</f>
        <v>E</v>
      </c>
      <c r="P5" t="str">
        <v>A</v>
      </c>
      <c r="Q5" t="str">
        <v>A</v>
      </c>
      <c r="R5" t="str">
        <v>J</v>
      </c>
      <c r="S5" t="str">
        <v>F</v>
      </c>
      <c r="T5" t="str">
        <v>E</v>
      </c>
      <c r="U5" t="str">
        <v>E</v>
      </c>
    </row>
    <row r="6" spans="1:21" x14ac:dyDescent="0.25">
      <c r="B6" t="str" cm="1">
        <f t="array" ref="B6:L6">CHAR(_xlfn.ANCHORARRAY(B5))</f>
        <v>E</v>
      </c>
      <c r="C6" t="str">
        <v>A</v>
      </c>
      <c r="D6" t="str">
        <v>B</v>
      </c>
      <c r="E6" t="str">
        <v>B</v>
      </c>
      <c r="F6" t="str">
        <v>H</v>
      </c>
      <c r="G6" t="str">
        <v>G</v>
      </c>
      <c r="H6" t="str">
        <v>I</v>
      </c>
      <c r="I6" t="str">
        <v>I</v>
      </c>
      <c r="J6" t="str">
        <v>G</v>
      </c>
      <c r="K6" t="str">
        <v>B</v>
      </c>
      <c r="L6" t="str">
        <v>B</v>
      </c>
      <c r="O6">
        <f>P1*N2</f>
        <v>7924</v>
      </c>
    </row>
    <row r="7" spans="1:21" x14ac:dyDescent="0.25">
      <c r="B7" t="str">
        <f>_xlfn.CONCAT(_xlfn.ANCHORARRAY(B6))</f>
        <v>EABBHGIIGBB</v>
      </c>
      <c r="O7" t="str">
        <f>MID($O6,COLUMNS($O6:O6),1)</f>
        <v>7</v>
      </c>
      <c r="P7" t="str">
        <f>MID($O6,COLUMNS($O6:P6),1)</f>
        <v>9</v>
      </c>
      <c r="Q7" t="str">
        <f>MID($O6,COLUMNS($O6:Q6),1)</f>
        <v>2</v>
      </c>
      <c r="R7" t="str">
        <f>MID($O6,COLUMNS($O6:R6),1)</f>
        <v>4</v>
      </c>
      <c r="S7" t="str">
        <f>MID($O6,COLUMNS($O6:S6),1)</f>
        <v/>
      </c>
    </row>
    <row r="8" spans="1:21" x14ac:dyDescent="0.25">
      <c r="O8" cm="1">
        <f t="array" ref="O8:R8">N4+O7:R7</f>
        <v>72</v>
      </c>
      <c r="P8">
        <v>74</v>
      </c>
      <c r="Q8">
        <v>67</v>
      </c>
      <c r="R8">
        <v>69</v>
      </c>
    </row>
    <row r="9" spans="1:21" x14ac:dyDescent="0.25">
      <c r="B9" t="s">
        <v>0</v>
      </c>
      <c r="O9" t="str" cm="1">
        <f t="array" ref="O9:R9">CHAR(_xlfn.ANCHORARRAY(O8))</f>
        <v>H</v>
      </c>
      <c r="P9" t="str">
        <v>J</v>
      </c>
      <c r="Q9" t="str">
        <v>C</v>
      </c>
      <c r="R9" t="str">
        <v>E</v>
      </c>
    </row>
    <row r="10" spans="1:21" x14ac:dyDescent="0.25">
      <c r="B10" t="str">
        <f>MID($B9,COLUMNS($B9:B9),1)</f>
        <v>E</v>
      </c>
      <c r="C10" t="str">
        <f>MID($B9,COLUMNS($B9:C9),1)</f>
        <v>A</v>
      </c>
      <c r="D10" t="str">
        <f>MID($B9,COLUMNS($B9:D9),1)</f>
        <v>A</v>
      </c>
      <c r="E10" t="str">
        <f>MID($B9,COLUMNS($B9:E9),1)</f>
        <v>J</v>
      </c>
      <c r="F10" t="str">
        <f>MID($B9,COLUMNS($B9:F9),1)</f>
        <v>F</v>
      </c>
      <c r="G10" t="str">
        <f>MID($B9,COLUMNS($B9:G9),1)</f>
        <v>G</v>
      </c>
      <c r="H10" t="str">
        <f>MID($B9,COLUMNS($B9:H9),1)</f>
        <v>E</v>
      </c>
      <c r="I10" t="str">
        <f>MID($B9,COLUMNS($B9:I9),1)</f>
        <v>A</v>
      </c>
      <c r="J10" t="str">
        <f>MID($B9,COLUMNS($B9:J9),1)</f>
        <v>A</v>
      </c>
      <c r="K10" t="str">
        <f>MID($B9,COLUMNS($B9:K9),1)</f>
        <v>I</v>
      </c>
      <c r="L10" t="str">
        <f>MID($B9,COLUMNS($B9:L9),1)</f>
        <v>B</v>
      </c>
      <c r="O10" t="str">
        <f>_xlfn.CONCAT(_xlfn.ANCHORARRAY(O5),COUNTA(_xlfn.ANCHORARRAY(O9)),_xlfn.ANCHORARRAY(O9))</f>
        <v>EAAJFEE4HJCE</v>
      </c>
    </row>
    <row r="11" spans="1:21" x14ac:dyDescent="0.25">
      <c r="B11" cm="1">
        <f t="array" ref="B11:L11">CODE(B10:L10)</f>
        <v>69</v>
      </c>
      <c r="C11">
        <v>65</v>
      </c>
      <c r="D11">
        <v>65</v>
      </c>
      <c r="E11">
        <v>74</v>
      </c>
      <c r="F11">
        <v>70</v>
      </c>
      <c r="G11">
        <v>71</v>
      </c>
      <c r="H11">
        <v>69</v>
      </c>
      <c r="I11">
        <v>65</v>
      </c>
      <c r="J11">
        <v>65</v>
      </c>
      <c r="K11">
        <v>73</v>
      </c>
      <c r="L11">
        <v>66</v>
      </c>
      <c r="O11" t="str">
        <f>RIGHT(O10,11)</f>
        <v>AAJFEE4HJCE</v>
      </c>
    </row>
    <row r="12" spans="1:21" x14ac:dyDescent="0.25">
      <c r="A12">
        <v>-65</v>
      </c>
      <c r="B12" cm="1">
        <f t="array" ref="B12:L12">_xlfn.ANCHORARRAY(B11)+A12</f>
        <v>4</v>
      </c>
      <c r="C12">
        <v>0</v>
      </c>
      <c r="D12">
        <v>0</v>
      </c>
      <c r="E12">
        <v>9</v>
      </c>
      <c r="F12">
        <v>5</v>
      </c>
      <c r="G12">
        <v>6</v>
      </c>
      <c r="H12">
        <v>4</v>
      </c>
      <c r="I12">
        <v>0</v>
      </c>
      <c r="J12">
        <v>0</v>
      </c>
      <c r="K12">
        <v>8</v>
      </c>
      <c r="L12">
        <v>1</v>
      </c>
    </row>
    <row r="13" spans="1:21" x14ac:dyDescent="0.25">
      <c r="B13" t="str">
        <f>_xlfn.CONCAT(_xlfn.ANCHORARRAY(B12))</f>
        <v>40095640081</v>
      </c>
      <c r="O13" t="s">
        <v>3</v>
      </c>
      <c r="P13">
        <v>4</v>
      </c>
    </row>
    <row r="14" spans="1:21" x14ac:dyDescent="0.25">
      <c r="A14">
        <v>1981</v>
      </c>
      <c r="B14">
        <f>B13/A14</f>
        <v>20240101</v>
      </c>
      <c r="O14" t="str">
        <f>RIGHT(O13,P13)</f>
        <v>JJAF</v>
      </c>
    </row>
    <row r="15" spans="1:21" x14ac:dyDescent="0.25">
      <c r="O15" t="str">
        <f>MID($O14,COLUMNS($O14:O14),1)</f>
        <v>J</v>
      </c>
      <c r="P15" t="str">
        <f>MID($O14,COLUMNS($O14:P14),1)</f>
        <v>J</v>
      </c>
      <c r="Q15" t="str">
        <f>MID($O14,COLUMNS($O14:Q14),1)</f>
        <v>A</v>
      </c>
      <c r="R15" t="str">
        <f>MID($O14,COLUMNS($O14:R14),1)</f>
        <v>F</v>
      </c>
      <c r="S15" t="str">
        <f>MID($O14,COLUMNS($O14:S14),1)</f>
        <v/>
      </c>
    </row>
    <row r="16" spans="1:21" x14ac:dyDescent="0.25">
      <c r="B16" t="s">
        <v>1</v>
      </c>
      <c r="O16" cm="1">
        <f t="array" ref="O16:R16">CODE(O15:R15)</f>
        <v>74</v>
      </c>
      <c r="P16">
        <v>74</v>
      </c>
      <c r="Q16">
        <v>65</v>
      </c>
      <c r="R16">
        <v>70</v>
      </c>
    </row>
    <row r="17" spans="1:18" x14ac:dyDescent="0.25">
      <c r="B17" t="str">
        <f>MID($B16,COLUMNS($B16:B16),1)</f>
        <v>E</v>
      </c>
      <c r="C17" t="str">
        <f>MID($B16,COLUMNS($B16:C16),1)</f>
        <v>A</v>
      </c>
      <c r="D17" t="str">
        <f>MID($B16,COLUMNS($B16:D16),1)</f>
        <v>B</v>
      </c>
      <c r="E17" t="str">
        <f>MID($B16,COLUMNS($B16:E16),1)</f>
        <v>B</v>
      </c>
      <c r="F17" t="str">
        <f>MID($B16,COLUMNS($B16:F16),1)</f>
        <v>H</v>
      </c>
      <c r="G17" t="str">
        <f>MID($B16,COLUMNS($B16:G16),1)</f>
        <v>C</v>
      </c>
      <c r="H17" t="str">
        <f>MID($B16,COLUMNS($B16:H16),1)</f>
        <v>D</v>
      </c>
      <c r="I17" t="str">
        <f>MID($B16,COLUMNS($B16:I16),1)</f>
        <v>C</v>
      </c>
      <c r="J17" t="str">
        <f>MID($B16,COLUMNS($B16:J16),1)</f>
        <v>J</v>
      </c>
      <c r="K17" t="str">
        <f>MID($B16,COLUMNS($B16:K16),1)</f>
        <v>I</v>
      </c>
      <c r="L17" t="str">
        <f>MID($B16,COLUMNS($B16:L16),1)</f>
        <v>B</v>
      </c>
      <c r="N17">
        <v>-65</v>
      </c>
      <c r="O17" cm="1">
        <f t="array" ref="O17:R17">_xlfn.ANCHORARRAY(O16)+N17</f>
        <v>9</v>
      </c>
      <c r="P17">
        <v>9</v>
      </c>
      <c r="Q17">
        <v>0</v>
      </c>
      <c r="R17">
        <v>5</v>
      </c>
    </row>
    <row r="18" spans="1:18" x14ac:dyDescent="0.25">
      <c r="B18" cm="1">
        <f t="array" ref="B18:L18">CODE(B17:L17)</f>
        <v>69</v>
      </c>
      <c r="C18">
        <v>65</v>
      </c>
      <c r="D18">
        <v>66</v>
      </c>
      <c r="E18">
        <v>66</v>
      </c>
      <c r="F18">
        <v>72</v>
      </c>
      <c r="G18">
        <v>67</v>
      </c>
      <c r="H18">
        <v>68</v>
      </c>
      <c r="I18">
        <v>67</v>
      </c>
      <c r="J18">
        <v>74</v>
      </c>
      <c r="K18">
        <v>73</v>
      </c>
      <c r="L18">
        <v>66</v>
      </c>
      <c r="O18" t="str">
        <f>_xlfn.CONCAT(_xlfn.ANCHORARRAY(O17))</f>
        <v>9905</v>
      </c>
    </row>
    <row r="19" spans="1:18" x14ac:dyDescent="0.25">
      <c r="A19">
        <v>-65</v>
      </c>
      <c r="B19" cm="1">
        <f t="array" ref="B19:L19">_xlfn.ANCHORARRAY(B18)+A19</f>
        <v>4</v>
      </c>
      <c r="C19">
        <v>0</v>
      </c>
      <c r="D19">
        <v>1</v>
      </c>
      <c r="E19">
        <v>1</v>
      </c>
      <c r="F19">
        <v>7</v>
      </c>
      <c r="G19">
        <v>2</v>
      </c>
      <c r="H19">
        <v>3</v>
      </c>
      <c r="I19">
        <v>2</v>
      </c>
      <c r="J19">
        <v>9</v>
      </c>
      <c r="K19">
        <v>8</v>
      </c>
      <c r="L19">
        <v>1</v>
      </c>
      <c r="N19">
        <v>1981</v>
      </c>
      <c r="O19">
        <f>O18/N19</f>
        <v>5</v>
      </c>
    </row>
    <row r="20" spans="1:18" x14ac:dyDescent="0.25">
      <c r="B20" t="str">
        <f>_xlfn.CONCAT(_xlfn.ANCHORARRAY(B19))</f>
        <v>40117232981</v>
      </c>
    </row>
    <row r="21" spans="1:18" x14ac:dyDescent="0.25">
      <c r="A21">
        <v>1981</v>
      </c>
      <c r="B21">
        <f>B20/A21</f>
        <v>20251001</v>
      </c>
    </row>
    <row r="23" spans="1:18" x14ac:dyDescent="0.25">
      <c r="B23" t="s">
        <v>2</v>
      </c>
    </row>
    <row r="24" spans="1:18" x14ac:dyDescent="0.25">
      <c r="B24" t="str">
        <f>MID($B23,COLUMNS($B23:B23),1)</f>
        <v>E</v>
      </c>
      <c r="C24" t="str">
        <f>MID($B23,COLUMNS($B23:C23),1)</f>
        <v>A</v>
      </c>
      <c r="D24" t="str">
        <f>MID($B23,COLUMNS($B23:D23),1)</f>
        <v>B</v>
      </c>
      <c r="E24" t="str">
        <f>MID($B23,COLUMNS($B23:E23),1)</f>
        <v>B</v>
      </c>
      <c r="F24" t="str">
        <f>MID($B23,COLUMNS($B23:F23),1)</f>
        <v>H</v>
      </c>
      <c r="G24" t="str">
        <f>MID($B23,COLUMNS($B23:G23),1)</f>
        <v>G</v>
      </c>
      <c r="H24" t="str">
        <f>MID($B23,COLUMNS($B23:H23),1)</f>
        <v>I</v>
      </c>
      <c r="I24" t="str">
        <f>MID($B23,COLUMNS($B23:I23),1)</f>
        <v>I</v>
      </c>
      <c r="J24" t="str">
        <f>MID($B23,COLUMNS($B23:J23),1)</f>
        <v>G</v>
      </c>
      <c r="K24" t="str">
        <f>MID($B23,COLUMNS($B23:K23),1)</f>
        <v>B</v>
      </c>
      <c r="L24" t="str">
        <f>MID($B23,COLUMNS($B23:L23),1)</f>
        <v>B</v>
      </c>
      <c r="O24" t="s">
        <v>1</v>
      </c>
      <c r="P24" cm="1">
        <f t="array" ref="P24:P26">LEN(O24:O26)</f>
        <v>11</v>
      </c>
      <c r="Q24" t="b">
        <f>O24&lt;O25</f>
        <v>1</v>
      </c>
    </row>
    <row r="25" spans="1:18" x14ac:dyDescent="0.25">
      <c r="B25" cm="1">
        <f t="array" ref="B25:L25">CODE(B24:L24)</f>
        <v>69</v>
      </c>
      <c r="C25">
        <v>65</v>
      </c>
      <c r="D25">
        <v>66</v>
      </c>
      <c r="E25">
        <v>66</v>
      </c>
      <c r="F25">
        <v>72</v>
      </c>
      <c r="G25">
        <v>71</v>
      </c>
      <c r="H25">
        <v>73</v>
      </c>
      <c r="I25">
        <v>73</v>
      </c>
      <c r="J25">
        <v>71</v>
      </c>
      <c r="K25">
        <v>66</v>
      </c>
      <c r="L25">
        <v>66</v>
      </c>
      <c r="O25" t="s">
        <v>70</v>
      </c>
      <c r="P25">
        <v>11</v>
      </c>
      <c r="Q25" t="b">
        <f>O25&lt;O26</f>
        <v>1</v>
      </c>
    </row>
    <row r="26" spans="1:18" x14ac:dyDescent="0.25">
      <c r="A26">
        <v>-65</v>
      </c>
      <c r="B26" cm="1">
        <f t="array" ref="B26:L26">_xlfn.ANCHORARRAY(B25)+A26</f>
        <v>4</v>
      </c>
      <c r="C26">
        <v>0</v>
      </c>
      <c r="D26">
        <v>1</v>
      </c>
      <c r="E26">
        <v>1</v>
      </c>
      <c r="F26">
        <v>7</v>
      </c>
      <c r="G26">
        <v>6</v>
      </c>
      <c r="H26">
        <v>8</v>
      </c>
      <c r="I26">
        <v>8</v>
      </c>
      <c r="J26">
        <v>6</v>
      </c>
      <c r="K26">
        <v>1</v>
      </c>
      <c r="L26">
        <v>1</v>
      </c>
      <c r="O26" t="s">
        <v>2</v>
      </c>
      <c r="P26">
        <v>11</v>
      </c>
    </row>
    <row r="27" spans="1:18" x14ac:dyDescent="0.25">
      <c r="B27" t="str">
        <f>_xlfn.CONCAT(_xlfn.ANCHORARRAY(B26))</f>
        <v>40117688611</v>
      </c>
    </row>
    <row r="28" spans="1:18" x14ac:dyDescent="0.25">
      <c r="A28">
        <v>1981</v>
      </c>
      <c r="B28">
        <f>B27/A28</f>
        <v>20251231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7956-61A7-4E86-A27F-7F9CEA9C5802}">
  <dimension ref="A1:H22"/>
  <sheetViews>
    <sheetView workbookViewId="0">
      <selection activeCell="G25" sqref="G25"/>
    </sheetView>
  </sheetViews>
  <sheetFormatPr defaultRowHeight="15" x14ac:dyDescent="0.25"/>
  <cols>
    <col min="6" max="6" width="4.5" bestFit="1" customWidth="1"/>
    <col min="7" max="7" width="18.625" bestFit="1" customWidth="1"/>
  </cols>
  <sheetData>
    <row r="1" spans="1:8" x14ac:dyDescent="0.25">
      <c r="A1" t="s">
        <v>4</v>
      </c>
      <c r="B1" t="str" cm="1">
        <f t="array" ref="B1:B22">TRIM(A1:A22)</f>
        <v>* AUD cl_Audits</v>
      </c>
      <c r="F1" t="s">
        <v>26</v>
      </c>
      <c r="G1" t="s">
        <v>27</v>
      </c>
      <c r="H1" t="str" cm="1">
        <f t="array" ref="H1:H22">"(DIGEST('"&amp;G1:G22&amp;"', 'SHA256'),'"&amp;F1:F22&amp;"', NULL),"</f>
        <v>(DIGEST('cl_Audits', 'SHA256'),'AUD', NULL),</v>
      </c>
    </row>
    <row r="2" spans="1:8" x14ac:dyDescent="0.25">
      <c r="A2" t="s">
        <v>5</v>
      </c>
      <c r="B2" t="str">
        <v>* CIT cl_Cities</v>
      </c>
      <c r="F2" t="s">
        <v>28</v>
      </c>
      <c r="G2" t="s">
        <v>29</v>
      </c>
      <c r="H2" t="str">
        <v>(DIGEST('cl_Cities', 'SHA256'),'CIT', NULL),</v>
      </c>
    </row>
    <row r="3" spans="1:8" x14ac:dyDescent="0.25">
      <c r="A3" t="s">
        <v>6</v>
      </c>
      <c r="B3" t="str">
        <v>* CTY cl_Countries</v>
      </c>
      <c r="F3" t="s">
        <v>30</v>
      </c>
      <c r="G3" t="s">
        <v>31</v>
      </c>
      <c r="H3" t="str">
        <v>(DIGEST('cl_Countries', 'SHA256'),'CTY', NULL),</v>
      </c>
    </row>
    <row r="4" spans="1:8" x14ac:dyDescent="0.25">
      <c r="A4" t="s">
        <v>7</v>
      </c>
      <c r="B4" t="str">
        <v>* LNG cl_Languages</v>
      </c>
      <c r="F4" t="s">
        <v>32</v>
      </c>
      <c r="G4" t="s">
        <v>33</v>
      </c>
      <c r="H4" t="str">
        <v>(DIGEST('cl_Languages', 'SHA256'),'LNG', NULL),</v>
      </c>
    </row>
    <row r="5" spans="1:8" x14ac:dyDescent="0.25">
      <c r="A5" t="s">
        <v>8</v>
      </c>
      <c r="B5" t="str">
        <v>* LGR cl_LanguageRelations</v>
      </c>
      <c r="F5" t="s">
        <v>34</v>
      </c>
      <c r="G5" t="s">
        <v>35</v>
      </c>
      <c r="H5" t="str">
        <v>(DIGEST('cl_LanguageRelations', 'SHA256'),'LGR', NULL),</v>
      </c>
    </row>
    <row r="6" spans="1:8" x14ac:dyDescent="0.25">
      <c r="A6" t="s">
        <v>10</v>
      </c>
      <c r="B6" t="str">
        <v>* CIV cl_Civilities</v>
      </c>
      <c r="F6" t="s">
        <v>36</v>
      </c>
      <c r="G6" t="s">
        <v>37</v>
      </c>
      <c r="H6" t="str">
        <v>(DIGEST('cl_Civilities', 'SHA256'),'CIV', NULL),</v>
      </c>
    </row>
    <row r="7" spans="1:8" x14ac:dyDescent="0.25">
      <c r="A7" t="s">
        <v>11</v>
      </c>
      <c r="B7" t="str">
        <v>* CVR cl_CivilityRelations</v>
      </c>
      <c r="F7" t="s">
        <v>38</v>
      </c>
      <c r="G7" t="s">
        <v>39</v>
      </c>
      <c r="H7" t="str">
        <v>(DIGEST('cl_CivilityRelations', 'SHA256'),'CVR', NULL),</v>
      </c>
    </row>
    <row r="8" spans="1:8" x14ac:dyDescent="0.25">
      <c r="A8" t="s">
        <v>12</v>
      </c>
      <c r="B8" t="str">
        <v>* CRD cl_Credentials</v>
      </c>
      <c r="F8" t="s">
        <v>40</v>
      </c>
      <c r="G8" t="s">
        <v>41</v>
      </c>
      <c r="H8" t="str">
        <v>(DIGEST('cl_Credentials', 'SHA256'),'CRD', NULL),</v>
      </c>
    </row>
    <row r="9" spans="1:8" x14ac:dyDescent="0.25">
      <c r="A9" t="s">
        <v>13</v>
      </c>
      <c r="B9" t="str">
        <v>* GND cl_Genders</v>
      </c>
      <c r="F9" t="s">
        <v>42</v>
      </c>
      <c r="G9" t="s">
        <v>43</v>
      </c>
      <c r="H9" t="str">
        <v>(DIGEST('cl_Genders', 'SHA256'),'GND', NULL),</v>
      </c>
    </row>
    <row r="10" spans="1:8" x14ac:dyDescent="0.25">
      <c r="A10" t="s">
        <v>14</v>
      </c>
      <c r="B10" t="str">
        <v>* GNR cl_GenderRelations</v>
      </c>
      <c r="F10" t="s">
        <v>44</v>
      </c>
      <c r="G10" t="s">
        <v>45</v>
      </c>
      <c r="H10" t="str">
        <v>(DIGEST('cl_GenderRelations', 'SHA256'),'GNR', NULL),</v>
      </c>
    </row>
    <row r="11" spans="1:8" x14ac:dyDescent="0.25">
      <c r="A11" t="s">
        <v>15</v>
      </c>
      <c r="B11" t="str">
        <v>* OCP cl_Occupations</v>
      </c>
      <c r="F11" t="s">
        <v>46</v>
      </c>
      <c r="G11" t="s">
        <v>47</v>
      </c>
      <c r="H11" t="str">
        <v>(DIGEST('cl_Occupations', 'SHA256'),'OCP', NULL),</v>
      </c>
    </row>
    <row r="12" spans="1:8" x14ac:dyDescent="0.25">
      <c r="A12" t="s">
        <v>16</v>
      </c>
      <c r="B12" t="str">
        <v>* OCR cl_OccupationRelations</v>
      </c>
      <c r="F12" t="s">
        <v>48</v>
      </c>
      <c r="G12" t="s">
        <v>49</v>
      </c>
      <c r="H12" t="str">
        <v>(DIGEST('cl_OccupationRelations', 'SHA256'),'OCR', NULL),</v>
      </c>
    </row>
    <row r="13" spans="1:8" x14ac:dyDescent="0.25">
      <c r="A13" t="s">
        <v>17</v>
      </c>
      <c r="B13" t="str">
        <v>* PRL cl_Profiles</v>
      </c>
      <c r="F13" t="s">
        <v>50</v>
      </c>
      <c r="G13" t="s">
        <v>51</v>
      </c>
      <c r="H13" t="str">
        <v>(DIGEST('cl_Profiles', 'SHA256'),'PRL', NULL),</v>
      </c>
    </row>
    <row r="14" spans="1:8" x14ac:dyDescent="0.25">
      <c r="A14" t="s">
        <v>18</v>
      </c>
      <c r="B14" t="str">
        <v>* PRM cl_Permissions</v>
      </c>
      <c r="F14" t="s">
        <v>52</v>
      </c>
      <c r="G14" t="s">
        <v>53</v>
      </c>
      <c r="H14" t="str">
        <v>(DIGEST('cl_Permissions', 'SHA256'),'PRM', NULL),</v>
      </c>
    </row>
    <row r="15" spans="1:8" x14ac:dyDescent="0.25">
      <c r="A15" t="s">
        <v>19</v>
      </c>
      <c r="B15" t="str">
        <v>* PRR cl_Role_*</v>
      </c>
      <c r="F15" t="s">
        <v>54</v>
      </c>
      <c r="G15" t="s">
        <v>55</v>
      </c>
      <c r="H15" t="str">
        <v>(DIGEST('cl_Role_*', 'SHA256'),'PRR', NULL),</v>
      </c>
    </row>
    <row r="16" spans="1:8" x14ac:dyDescent="0.25">
      <c r="A16" t="s">
        <v>20</v>
      </c>
      <c r="B16" t="str">
        <v>* ROL cl_Roles</v>
      </c>
      <c r="F16" t="s">
        <v>56</v>
      </c>
      <c r="G16" t="s">
        <v>57</v>
      </c>
      <c r="H16" t="str">
        <v>(DIGEST('cl_Roles', 'SHA256'),'ROL', NULL),</v>
      </c>
    </row>
    <row r="17" spans="1:8" x14ac:dyDescent="0.25">
      <c r="A17" t="s">
        <v>21</v>
      </c>
      <c r="B17" t="str">
        <v>* ROR cl_RoleRelations</v>
      </c>
      <c r="F17" t="s">
        <v>58</v>
      </c>
      <c r="G17" t="s">
        <v>59</v>
      </c>
      <c r="H17" t="str">
        <v>(DIGEST('cl_RoleRelations', 'SHA256'),'ROR', NULL),</v>
      </c>
    </row>
    <row r="18" spans="1:8" x14ac:dyDescent="0.25">
      <c r="A18" t="s">
        <v>22</v>
      </c>
      <c r="B18" t="str">
        <v>* STS cl_Status</v>
      </c>
      <c r="F18" t="s">
        <v>60</v>
      </c>
      <c r="G18" t="s">
        <v>61</v>
      </c>
      <c r="H18" t="str">
        <v>(DIGEST('cl_Status', 'SHA256'),'STS', NULL),</v>
      </c>
    </row>
    <row r="19" spans="1:8" x14ac:dyDescent="0.25">
      <c r="A19" t="s">
        <v>23</v>
      </c>
      <c r="B19" t="str">
        <v>* STR cl_StatusRelations</v>
      </c>
      <c r="F19" t="s">
        <v>62</v>
      </c>
      <c r="G19" t="s">
        <v>63</v>
      </c>
      <c r="H19" t="str">
        <v>(DIGEST('cl_StatusRelations', 'SHA256'),'STR', NULL),</v>
      </c>
    </row>
    <row r="20" spans="1:8" x14ac:dyDescent="0.25">
      <c r="A20" t="s">
        <v>9</v>
      </c>
      <c r="B20" t="str">
        <v>* TRK cl_Trackings</v>
      </c>
      <c r="F20" t="s">
        <v>64</v>
      </c>
      <c r="G20" t="s">
        <v>65</v>
      </c>
      <c r="H20" t="str">
        <v>(DIGEST('cl_Trackings', 'SHA256'),'TRK', NULL),</v>
      </c>
    </row>
    <row r="21" spans="1:8" x14ac:dyDescent="0.25">
      <c r="A21" t="s">
        <v>24</v>
      </c>
      <c r="B21" t="str">
        <v>* TTL cl_Titles</v>
      </c>
      <c r="F21" t="s">
        <v>66</v>
      </c>
      <c r="G21" t="s">
        <v>67</v>
      </c>
      <c r="H21" t="str">
        <v>(DIGEST('cl_Titles', 'SHA256'),'TTL', NULL),</v>
      </c>
    </row>
    <row r="22" spans="1:8" x14ac:dyDescent="0.25">
      <c r="A22" t="s">
        <v>25</v>
      </c>
      <c r="B22" t="str">
        <v>* TTR cl_TitleRelations</v>
      </c>
      <c r="F22" t="s">
        <v>68</v>
      </c>
      <c r="G22" t="s">
        <v>69</v>
      </c>
      <c r="H22" t="str">
        <v>(DIGEST('cl_TitleRelations', 'SHA256'),'TTR', NULL),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GWET</dc:creator>
  <cp:lastModifiedBy>Patrik GWET</cp:lastModifiedBy>
  <dcterms:created xsi:type="dcterms:W3CDTF">2025-02-20T07:00:44Z</dcterms:created>
  <dcterms:modified xsi:type="dcterms:W3CDTF">2025-03-05T10:34:38Z</dcterms:modified>
</cp:coreProperties>
</file>